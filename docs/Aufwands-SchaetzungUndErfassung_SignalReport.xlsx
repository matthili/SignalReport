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OneDrive\Programmieren\java_diplomlehrgang_2026_projekt\SignalReport\docs\"/>
    </mc:Choice>
  </mc:AlternateContent>
  <xr:revisionPtr revIDLastSave="0" documentId="13_ncr:1_{974A4DB0-8C8F-405E-87DD-47A1B21B41B0}" xr6:coauthVersionLast="47" xr6:coauthVersionMax="47" xr10:uidLastSave="{00000000-0000-0000-0000-000000000000}"/>
  <bookViews>
    <workbookView xWindow="19830" yWindow="3120" windowWidth="32940" windowHeight="25530" xr2:uid="{00000000-000D-0000-FFFF-FFFF00000000}"/>
  </bookViews>
  <sheets>
    <sheet name="SignalReport" sheetId="1" r:id="rId1"/>
    <sheet name="Vorlage (Original)" sheetId="2" r:id="rId2"/>
  </sheets>
  <definedNames>
    <definedName name="Faktor_Kommunikation">#REF!</definedName>
    <definedName name="Faktor_Test">#REF!</definedName>
    <definedName name="Stundensatz">#REF!</definedName>
    <definedName name="Stundensatz_Consulti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C60" i="1"/>
  <c r="C61" i="2"/>
  <c r="C55" i="2"/>
  <c r="E55" i="2" s="1"/>
  <c r="K13" i="2" s="1"/>
  <c r="D49" i="2"/>
  <c r="J12" i="2" s="1"/>
  <c r="C49" i="2"/>
  <c r="E49" i="2" s="1"/>
  <c r="K12" i="2" s="1"/>
  <c r="C43" i="2"/>
  <c r="E43" i="2" s="1"/>
  <c r="K11" i="2" s="1"/>
  <c r="D37" i="2"/>
  <c r="J10" i="2" s="1"/>
  <c r="C37" i="2"/>
  <c r="E37" i="2" s="1"/>
  <c r="K10" i="2" s="1"/>
  <c r="C31" i="2"/>
  <c r="I9" i="2" s="1"/>
  <c r="C25" i="2"/>
  <c r="I8" i="2" s="1"/>
  <c r="C17" i="2"/>
  <c r="I7" i="2" s="1"/>
  <c r="J13" i="2"/>
  <c r="I13" i="2"/>
  <c r="L13" i="2" s="1"/>
  <c r="M13" i="2" s="1"/>
  <c r="H13" i="2"/>
  <c r="I12" i="2"/>
  <c r="H12" i="2"/>
  <c r="H11" i="2"/>
  <c r="C11" i="2"/>
  <c r="E11" i="2" s="1"/>
  <c r="K6" i="2" s="1"/>
  <c r="H10" i="2"/>
  <c r="H9" i="2"/>
  <c r="H8" i="2"/>
  <c r="H7" i="2"/>
  <c r="I6" i="2"/>
  <c r="H6" i="2"/>
  <c r="C6" i="2"/>
  <c r="I5" i="2" s="1"/>
  <c r="J5" i="2"/>
  <c r="H5" i="2"/>
  <c r="E4" i="2"/>
  <c r="C83" i="1"/>
  <c r="I14" i="1" s="1"/>
  <c r="L14" i="1" s="1"/>
  <c r="M14" i="1" s="1"/>
  <c r="C70" i="1"/>
  <c r="E70" i="1" s="1"/>
  <c r="K13" i="1" s="1"/>
  <c r="C52" i="1"/>
  <c r="I11" i="1" s="1"/>
  <c r="C46" i="1"/>
  <c r="I10" i="1" s="1"/>
  <c r="C38" i="1"/>
  <c r="I9" i="1" s="1"/>
  <c r="C29" i="1"/>
  <c r="E29" i="1" s="1"/>
  <c r="K8" i="1" s="1"/>
  <c r="C21" i="1"/>
  <c r="D21" i="1" s="1"/>
  <c r="J7" i="1" s="1"/>
  <c r="C15" i="1"/>
  <c r="I6" i="1" s="1"/>
  <c r="H13" i="1"/>
  <c r="H12" i="1"/>
  <c r="H11" i="1"/>
  <c r="H10" i="1"/>
  <c r="H9" i="1"/>
  <c r="H8" i="1"/>
  <c r="C8" i="1"/>
  <c r="I7" i="1"/>
  <c r="H7" i="1"/>
  <c r="H6" i="1"/>
  <c r="H5" i="1"/>
  <c r="K12" i="1" l="1"/>
  <c r="I8" i="1"/>
  <c r="E21" i="1"/>
  <c r="K7" i="1" s="1"/>
  <c r="L7" i="1" s="1"/>
  <c r="M7" i="1" s="1"/>
  <c r="D29" i="1"/>
  <c r="J8" i="1" s="1"/>
  <c r="C77" i="1"/>
  <c r="I12" i="1"/>
  <c r="D60" i="1"/>
  <c r="J12" i="1" s="1"/>
  <c r="L8" i="1"/>
  <c r="M8" i="1" s="1"/>
  <c r="L12" i="2"/>
  <c r="M12" i="2" s="1"/>
  <c r="L8" i="2"/>
  <c r="M8" i="2" s="1"/>
  <c r="E6" i="2"/>
  <c r="E8" i="1"/>
  <c r="I13" i="1"/>
  <c r="E46" i="1"/>
  <c r="K10" i="1" s="1"/>
  <c r="D52" i="1"/>
  <c r="J11" i="1" s="1"/>
  <c r="D17" i="2"/>
  <c r="J7" i="2" s="1"/>
  <c r="L7" i="2" s="1"/>
  <c r="M7" i="2" s="1"/>
  <c r="E17" i="2"/>
  <c r="K7" i="2" s="1"/>
  <c r="I10" i="2"/>
  <c r="L10" i="2" s="1"/>
  <c r="M10" i="2" s="1"/>
  <c r="D8" i="1"/>
  <c r="D38" i="1"/>
  <c r="J9" i="1" s="1"/>
  <c r="D46" i="1"/>
  <c r="J10" i="1" s="1"/>
  <c r="D11" i="2"/>
  <c r="E38" i="1"/>
  <c r="K9" i="1" s="1"/>
  <c r="E52" i="1"/>
  <c r="K11" i="1" s="1"/>
  <c r="I11" i="2"/>
  <c r="I5" i="1"/>
  <c r="D25" i="2"/>
  <c r="J8" i="2" s="1"/>
  <c r="E25" i="2"/>
  <c r="K8" i="2" s="1"/>
  <c r="D31" i="2"/>
  <c r="J9" i="2" s="1"/>
  <c r="L9" i="2" s="1"/>
  <c r="M9" i="2" s="1"/>
  <c r="D70" i="1"/>
  <c r="J13" i="1" s="1"/>
  <c r="D15" i="1"/>
  <c r="J6" i="1" s="1"/>
  <c r="E15" i="1"/>
  <c r="K6" i="1" s="1"/>
  <c r="E31" i="2"/>
  <c r="K9" i="2" s="1"/>
  <c r="D43" i="2"/>
  <c r="J11" i="2" s="1"/>
  <c r="L10" i="1" l="1"/>
  <c r="M10" i="1" s="1"/>
  <c r="L9" i="1"/>
  <c r="M9" i="1" s="1"/>
  <c r="L6" i="1"/>
  <c r="M6" i="1" s="1"/>
  <c r="L13" i="1"/>
  <c r="M13" i="1" s="1"/>
  <c r="L12" i="1"/>
  <c r="M12" i="1" s="1"/>
  <c r="L11" i="1"/>
  <c r="M11" i="1" s="1"/>
  <c r="D61" i="2"/>
  <c r="J6" i="2"/>
  <c r="D77" i="1"/>
  <c r="J5" i="1"/>
  <c r="J15" i="1" s="1"/>
  <c r="I14" i="2"/>
  <c r="I15" i="2" s="1"/>
  <c r="I15" i="1"/>
  <c r="K5" i="1"/>
  <c r="K15" i="1" s="1"/>
  <c r="E77" i="1"/>
  <c r="L11" i="2"/>
  <c r="M11" i="2" s="1"/>
  <c r="E61" i="2"/>
  <c r="K5" i="2"/>
  <c r="L5" i="1" l="1"/>
  <c r="C85" i="1"/>
  <c r="C86" i="1" s="1"/>
  <c r="K14" i="2"/>
  <c r="K15" i="2" s="1"/>
  <c r="L5" i="2"/>
  <c r="J14" i="2"/>
  <c r="J15" i="2" s="1"/>
  <c r="L6" i="2"/>
  <c r="M6" i="2" s="1"/>
  <c r="C63" i="2"/>
  <c r="M18" i="2" l="1"/>
  <c r="L14" i="2"/>
  <c r="L15" i="2" s="1"/>
  <c r="M5" i="2"/>
  <c r="L15" i="1"/>
  <c r="L16" i="1" s="1"/>
  <c r="M5" i="1"/>
  <c r="M15" i="1" s="1"/>
  <c r="M14" i="2" l="1"/>
  <c r="M17" i="2"/>
</calcChain>
</file>

<file path=xl/sharedStrings.xml><?xml version="1.0" encoding="utf-8"?>
<sst xmlns="http://schemas.openxmlformats.org/spreadsheetml/2006/main" count="142" uniqueCount="117">
  <si>
    <t>Stundensatz</t>
  </si>
  <si>
    <t>Diplomprojekt Java-Lehrgang 2026</t>
  </si>
  <si>
    <t>Stunden</t>
  </si>
  <si>
    <t>Implementierung</t>
  </si>
  <si>
    <t>Testen</t>
  </si>
  <si>
    <t>Kommunikation</t>
  </si>
  <si>
    <t>Projektteil</t>
  </si>
  <si>
    <t>Implement.</t>
  </si>
  <si>
    <t>Kommunik.</t>
  </si>
  <si>
    <t>Gesamt h</t>
  </si>
  <si>
    <t>Kosten</t>
  </si>
  <si>
    <t>Faktor</t>
  </si>
  <si>
    <t>Analyse &amp; Konzeption</t>
  </si>
  <si>
    <t>Anforderungsanalyse, User Stories</t>
  </si>
  <si>
    <t>Feature Requests definieren</t>
  </si>
  <si>
    <t>Architektur-Entwurf (Komponenten, Patterns)</t>
  </si>
  <si>
    <t>Technologie-Recherche (Javalin, H2, Chart.js)</t>
  </si>
  <si>
    <t>UML-Diagramme (PlantUML)</t>
  </si>
  <si>
    <t>Kommunikation (effektiv)</t>
  </si>
  <si>
    <t>Datenbank &amp; Persistenz</t>
  </si>
  <si>
    <t>GESAMT</t>
  </si>
  <si>
    <t>H2-Embedded-Datenbank einrichten</t>
  </si>
  <si>
    <t>Kontrollsumme</t>
  </si>
  <si>
    <t>Schema-Design (Measurements, Config)</t>
  </si>
  <si>
    <t>H2MeasurementRepository implementieren</t>
  </si>
  <si>
    <t>Datenbank-Migrationen &amp; Indexe</t>
  </si>
  <si>
    <t>Mess-Engine</t>
  </si>
  <si>
    <t>Measurer-Interface (Strategy-Pattern)</t>
  </si>
  <si>
    <t>PingMeasurer (plattformspezifisch)</t>
  </si>
  <si>
    <t>DnsMeasurer</t>
  </si>
  <si>
    <t>HttpMeasurer</t>
  </si>
  <si>
    <t>DnsBenchmark (Virtual Threads)</t>
  </si>
  <si>
    <t>Measurement, NetworkInfo, HostIdentifier</t>
  </si>
  <si>
    <t>Web-Oberflaeche</t>
  </si>
  <si>
    <t>WebServer (Javalin Routing, REST-API)</t>
  </si>
  <si>
    <t>HtmlPageRenderer (Dashboard, Charts)</t>
  </si>
  <si>
    <t>Chart.js Integration (Live-Updates, 5s)</t>
  </si>
  <si>
    <t>Statistik-Panel &amp; Heatmap</t>
  </si>
  <si>
    <t>Dark Mode (CSS Custom Properties)</t>
  </si>
  <si>
    <t>Einstellungs-Tabs (Ziele, Intervalle)</t>
  </si>
  <si>
    <t>Config-Singleton (JSON-Persistierung)</t>
  </si>
  <si>
    <t>Authentifizierung</t>
  </si>
  <si>
    <t>Challenge-Response Konzept (SHA-256)</t>
  </si>
  <si>
    <t>SessionManager (Nonces, Sessions, TTL)</t>
  </si>
  <si>
    <t>LoginPageRenderer</t>
  </si>
  <si>
    <t>SetupPageRenderer (Ersteinrichtung)</t>
  </si>
  <si>
    <t>Web Crypto API (Client-Side Hashing)</t>
  </si>
  <si>
    <t>Auth-/Setup-Middleware</t>
  </si>
  <si>
    <t>PDF-Export &amp; Benachrichtigungen</t>
  </si>
  <si>
    <t>PdfReportGenerator (OpenPDF, JFreeChart)</t>
  </si>
  <si>
    <t>CSV-Export</t>
  </si>
  <si>
    <t>PushNotificationService (Web Push API)</t>
  </si>
  <si>
    <t>Service Worker</t>
  </si>
  <si>
    <t>Deployment &amp; Installation</t>
  </si>
  <si>
    <t>install.sh (Linux/macOS, systemd, launchd)</t>
  </si>
  <si>
    <t>uninstall.sh</t>
  </si>
  <si>
    <t>install.bat / uninstall.bat (Windows)</t>
  </si>
  <si>
    <t>Apache Commons Daemon (jsvc)</t>
  </si>
  <si>
    <t>Testen (JUnit 5)</t>
  </si>
  <si>
    <t>MeasurementTest (5 Tests)</t>
  </si>
  <si>
    <t>HostIdentifierTest (4 Tests)</t>
  </si>
  <si>
    <t>ConfigTest (17 Tests)</t>
  </si>
  <si>
    <t>H2MeasurementRepositoryTest (10 Tests)</t>
  </si>
  <si>
    <t>StatisticsTest (9 Tests)</t>
  </si>
  <si>
    <t>MeasurerInterfaceTest (6 Tests)</t>
  </si>
  <si>
    <t>MaintenanceWindowTest (7 Tests)</t>
  </si>
  <si>
    <t>SessionManagerTest (16 Tests)</t>
  </si>
  <si>
    <t>Dokumentation</t>
  </si>
  <si>
    <t>LaTeX-Dokumentation (8 Kapitel)</t>
  </si>
  <si>
    <t>API-Referenz (Kapitel 8)</t>
  </si>
  <si>
    <t>PlantUML-Diagramme erstellen &amp; pflegen</t>
  </si>
  <si>
    <t>README.md &amp; deployment/README.txt</t>
  </si>
  <si>
    <t>Gesamt Implementierung</t>
  </si>
  <si>
    <t>Kommunikation (tatsaechliche Stunden)</t>
  </si>
  <si>
    <t>Besprechungen mit Trainer</t>
  </si>
  <si>
    <t>Besprechungen mit Kurs-Kolleginnen</t>
  </si>
  <si>
    <t>Fachliche Beratung (Java-Developerin)</t>
  </si>
  <si>
    <t>Gesamt Kommunikation</t>
  </si>
  <si>
    <t>GESAMTAUFWAND PROJEKT</t>
  </si>
  <si>
    <t>GESAMTKOSTEN</t>
  </si>
  <si>
    <t>Aufwand</t>
  </si>
  <si>
    <t>Aufwand summiert</t>
  </si>
  <si>
    <t>Implement</t>
  </si>
  <si>
    <t>Gesamt</t>
  </si>
  <si>
    <t>Analyse 1</t>
  </si>
  <si>
    <t>Meeting 1</t>
  </si>
  <si>
    <t>Dokumente 1</t>
  </si>
  <si>
    <t>Analyse2</t>
  </si>
  <si>
    <t>Meeting 2</t>
  </si>
  <si>
    <t>Prototyp</t>
  </si>
  <si>
    <t>Pflichtenheft</t>
  </si>
  <si>
    <t>Datenbank</t>
  </si>
  <si>
    <t>Gesamtsumme</t>
  </si>
  <si>
    <t xml:space="preserve">ER Modell </t>
  </si>
  <si>
    <t>Kontrollsumme 1</t>
  </si>
  <si>
    <t>Relationenmodell</t>
  </si>
  <si>
    <t>Tabellen erstellen</t>
  </si>
  <si>
    <t>Beziehungen</t>
  </si>
  <si>
    <t>Testdaten</t>
  </si>
  <si>
    <t>Feature 1</t>
  </si>
  <si>
    <t>Punkt 1</t>
  </si>
  <si>
    <t>Punkt 2</t>
  </si>
  <si>
    <t>Punkt 3</t>
  </si>
  <si>
    <t>Feature 2</t>
  </si>
  <si>
    <t>Feature 3</t>
  </si>
  <si>
    <t>Punk 3</t>
  </si>
  <si>
    <t>Feature 4</t>
  </si>
  <si>
    <t>Integrationstest 1</t>
  </si>
  <si>
    <t>Integrationstest 2</t>
  </si>
  <si>
    <t>Lasttest</t>
  </si>
  <si>
    <t>Sonstiges</t>
  </si>
  <si>
    <t>Angebot (Aufwand, Meetings, Mail)</t>
  </si>
  <si>
    <t>Installation</t>
  </si>
  <si>
    <t>Summe</t>
  </si>
  <si>
    <t>Testen unter Windows</t>
  </si>
  <si>
    <t>Testen auf Linux-Systemen</t>
  </si>
  <si>
    <t>Aufwandsschätzung und Dokumentation SignalReport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</si>
</sst>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"/>
    <numFmt numFmtId="166" formatCode="#,##0\ \€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0"/>
      <name val="Calibri"/>
    </font>
    <font>
      <sz val="10"/>
      <color rgb="FF0000FF"/>
      <name val="Calibri"/>
    </font>
    <font>
      <b/>
      <sz val="12"/>
      <name val="Calibri"/>
    </font>
    <font>
      <i/>
      <sz val="9"/>
      <name val="Calibri"/>
    </font>
    <font>
      <b/>
      <sz val="11"/>
      <name val="Calibri"/>
    </font>
    <font>
      <sz val="10"/>
      <name val="Calibri"/>
    </font>
    <font>
      <b/>
      <sz val="13"/>
      <name val="Calibri"/>
    </font>
    <font>
      <i/>
      <sz val="9"/>
      <color rgb="FF008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 indent="1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left" indent="1"/>
    </xf>
    <xf numFmtId="0" fontId="1" fillId="4" borderId="0" xfId="0" applyFont="1" applyFill="1" applyAlignment="1">
      <alignment horizontal="right"/>
    </xf>
    <xf numFmtId="0" fontId="0" fillId="3" borderId="0" xfId="0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1" fillId="3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165" fontId="0" fillId="0" borderId="0" xfId="0" applyNumberFormat="1"/>
    <xf numFmtId="165" fontId="1" fillId="0" borderId="1" xfId="0" applyNumberFormat="1" applyFont="1" applyBorder="1"/>
    <xf numFmtId="0" fontId="1" fillId="5" borderId="0" xfId="0" applyFont="1" applyFill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166" fontId="9" fillId="6" borderId="0" xfId="0" applyNumberFormat="1" applyFont="1" applyFill="1"/>
    <xf numFmtId="0" fontId="7" fillId="0" borderId="0" xfId="0" applyFont="1"/>
    <xf numFmtId="0" fontId="10" fillId="7" borderId="2" xfId="0" applyFont="1" applyFill="1" applyBorder="1"/>
    <xf numFmtId="0" fontId="11" fillId="0" borderId="0" xfId="0" applyFont="1"/>
    <xf numFmtId="166" fontId="0" fillId="0" borderId="0" xfId="0" applyNumberFormat="1"/>
    <xf numFmtId="9" fontId="9" fillId="6" borderId="0" xfId="0" applyNumberFormat="1" applyFont="1" applyFill="1"/>
    <xf numFmtId="0" fontId="12" fillId="8" borderId="0" xfId="0" applyFont="1" applyFill="1"/>
    <xf numFmtId="0" fontId="0" fillId="8" borderId="0" xfId="0" applyFill="1"/>
    <xf numFmtId="0" fontId="8" fillId="8" borderId="0" xfId="0" applyFont="1" applyFill="1"/>
    <xf numFmtId="165" fontId="8" fillId="8" borderId="0" xfId="0" applyNumberFormat="1" applyFont="1" applyFill="1"/>
    <xf numFmtId="0" fontId="13" fillId="0" borderId="0" xfId="0" applyFont="1"/>
    <xf numFmtId="0" fontId="9" fillId="0" borderId="0" xfId="0" applyFont="1"/>
    <xf numFmtId="0" fontId="12" fillId="0" borderId="3" xfId="0" applyFont="1" applyBorder="1"/>
    <xf numFmtId="165" fontId="12" fillId="0" borderId="3" xfId="0" applyNumberFormat="1" applyFont="1" applyBorder="1"/>
    <xf numFmtId="166" fontId="12" fillId="0" borderId="3" xfId="0" applyNumberFormat="1" applyFont="1" applyBorder="1"/>
    <xf numFmtId="0" fontId="15" fillId="0" borderId="0" xfId="0" applyFont="1"/>
    <xf numFmtId="0" fontId="10" fillId="0" borderId="3" xfId="0" applyFont="1" applyBorder="1"/>
    <xf numFmtId="0" fontId="0" fillId="0" borderId="3" xfId="0" applyBorder="1"/>
    <xf numFmtId="0" fontId="14" fillId="7" borderId="0" xfId="0" applyFont="1" applyFill="1"/>
    <xf numFmtId="0" fontId="0" fillId="7" borderId="0" xfId="0" applyFill="1"/>
    <xf numFmtId="165" fontId="14" fillId="7" borderId="0" xfId="0" applyNumberFormat="1" applyFont="1" applyFill="1"/>
    <xf numFmtId="166" fontId="14" fillId="7" borderId="0" xfId="0" applyNumberFormat="1" applyFon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42" customWidth="1"/>
    <col min="2" max="2" width="9.28515625" bestFit="1" customWidth="1"/>
    <col min="3" max="3" width="18" bestFit="1" customWidth="1"/>
    <col min="4" max="4" width="7.42578125" bestFit="1" customWidth="1"/>
    <col min="5" max="5" width="16.85546875" bestFit="1" customWidth="1"/>
    <col min="6" max="7" width="3" customWidth="1"/>
    <col min="8" max="8" width="31.140625" bestFit="1" customWidth="1"/>
    <col min="9" max="9" width="12.140625" bestFit="1" customWidth="1"/>
    <col min="10" max="10" width="7.42578125" bestFit="1" customWidth="1"/>
    <col min="11" max="11" width="12.140625" bestFit="1" customWidth="1"/>
    <col min="12" max="12" width="10.5703125" bestFit="1" customWidth="1"/>
    <col min="13" max="13" width="7.85546875" bestFit="1" customWidth="1"/>
  </cols>
  <sheetData>
    <row r="1" spans="1:13" ht="18.75" x14ac:dyDescent="0.3">
      <c r="A1" s="42" t="s">
        <v>116</v>
      </c>
      <c r="L1" s="43" t="s">
        <v>0</v>
      </c>
      <c r="M1" s="44">
        <v>60</v>
      </c>
    </row>
    <row r="2" spans="1:13" x14ac:dyDescent="0.25">
      <c r="A2" s="45" t="s">
        <v>1</v>
      </c>
    </row>
    <row r="4" spans="1:13" ht="15.75" x14ac:dyDescent="0.25">
      <c r="A4" s="46"/>
      <c r="B4" s="46" t="s">
        <v>2</v>
      </c>
      <c r="C4" s="46" t="s">
        <v>3</v>
      </c>
      <c r="D4" s="46" t="s">
        <v>4</v>
      </c>
      <c r="E4" s="46" t="s">
        <v>5</v>
      </c>
      <c r="H4" s="46" t="s">
        <v>6</v>
      </c>
      <c r="I4" s="46" t="s">
        <v>7</v>
      </c>
      <c r="J4" s="46" t="s">
        <v>4</v>
      </c>
      <c r="K4" s="46" t="s">
        <v>8</v>
      </c>
      <c r="L4" s="46" t="s">
        <v>9</v>
      </c>
      <c r="M4" s="46" t="s">
        <v>10</v>
      </c>
    </row>
    <row r="5" spans="1:13" x14ac:dyDescent="0.25">
      <c r="D5" s="47" t="s">
        <v>11</v>
      </c>
      <c r="E5" s="47" t="s">
        <v>11</v>
      </c>
      <c r="H5" t="str">
        <f>A8</f>
        <v>Analyse &amp; Konzeption</v>
      </c>
      <c r="I5">
        <f>C8</f>
        <v>66</v>
      </c>
      <c r="J5">
        <f>D8</f>
        <v>13.200000000000001</v>
      </c>
      <c r="K5">
        <f>E8</f>
        <v>3.3000000000000003</v>
      </c>
      <c r="L5" s="37">
        <f t="shared" ref="L5:L13" si="0">SUM(I5:K5)</f>
        <v>82.5</v>
      </c>
      <c r="M5" s="48">
        <f t="shared" ref="M5:M14" si="1">L5*$M$1</f>
        <v>4950</v>
      </c>
    </row>
    <row r="6" spans="1:13" x14ac:dyDescent="0.25">
      <c r="D6" s="49">
        <v>0.2</v>
      </c>
      <c r="E6" s="49">
        <v>0.05</v>
      </c>
      <c r="H6" t="str">
        <f>A15</f>
        <v>Datenbank &amp; Persistenz</v>
      </c>
      <c r="I6">
        <f>C15</f>
        <v>34</v>
      </c>
      <c r="J6">
        <f>D15</f>
        <v>6.8000000000000007</v>
      </c>
      <c r="K6">
        <f>E15</f>
        <v>1.7000000000000002</v>
      </c>
      <c r="L6" s="37">
        <f t="shared" si="0"/>
        <v>42.5</v>
      </c>
      <c r="M6" s="48">
        <f t="shared" si="1"/>
        <v>2550</v>
      </c>
    </row>
    <row r="7" spans="1:13" x14ac:dyDescent="0.25">
      <c r="H7" t="str">
        <f>A21</f>
        <v>Mess-Engine</v>
      </c>
      <c r="I7">
        <f>C21</f>
        <v>62</v>
      </c>
      <c r="J7">
        <f>D21</f>
        <v>12.4</v>
      </c>
      <c r="K7">
        <f>E21</f>
        <v>3.1</v>
      </c>
      <c r="L7" s="37">
        <f t="shared" si="0"/>
        <v>77.5</v>
      </c>
      <c r="M7" s="48">
        <f t="shared" si="1"/>
        <v>4650</v>
      </c>
    </row>
    <row r="8" spans="1:13" x14ac:dyDescent="0.25">
      <c r="A8" s="50" t="s">
        <v>12</v>
      </c>
      <c r="B8" s="51"/>
      <c r="C8" s="52">
        <f>SUM(B9:B13)</f>
        <v>66</v>
      </c>
      <c r="D8" s="53">
        <f>$C8*$D$6</f>
        <v>13.200000000000001</v>
      </c>
      <c r="E8" s="53">
        <f>$C8*$E$6</f>
        <v>3.3000000000000003</v>
      </c>
      <c r="H8" t="str">
        <f>A29</f>
        <v>Web-Oberflaeche</v>
      </c>
      <c r="I8">
        <f>C29</f>
        <v>98</v>
      </c>
      <c r="J8">
        <f>D29</f>
        <v>19.600000000000001</v>
      </c>
      <c r="K8">
        <f>E29</f>
        <v>4.9000000000000004</v>
      </c>
      <c r="L8" s="37">
        <f t="shared" si="0"/>
        <v>122.5</v>
      </c>
      <c r="M8" s="48">
        <f t="shared" si="1"/>
        <v>7350</v>
      </c>
    </row>
    <row r="9" spans="1:13" x14ac:dyDescent="0.25">
      <c r="A9" s="54" t="s">
        <v>13</v>
      </c>
      <c r="B9" s="55">
        <v>8</v>
      </c>
      <c r="H9" t="str">
        <f>A38</f>
        <v>Authentifizierung</v>
      </c>
      <c r="I9">
        <f>C38</f>
        <v>44</v>
      </c>
      <c r="J9">
        <f>D38</f>
        <v>8.8000000000000007</v>
      </c>
      <c r="K9">
        <f>E38</f>
        <v>2.2000000000000002</v>
      </c>
      <c r="L9" s="37">
        <f t="shared" si="0"/>
        <v>55</v>
      </c>
      <c r="M9" s="48">
        <f t="shared" si="1"/>
        <v>3300</v>
      </c>
    </row>
    <row r="10" spans="1:13" x14ac:dyDescent="0.25">
      <c r="A10" s="54" t="s">
        <v>14</v>
      </c>
      <c r="B10" s="55">
        <v>8</v>
      </c>
      <c r="H10" t="str">
        <f>A46</f>
        <v>PDF-Export &amp; Benachrichtigungen</v>
      </c>
      <c r="I10">
        <f>C46</f>
        <v>42</v>
      </c>
      <c r="J10">
        <f>D46</f>
        <v>8.4</v>
      </c>
      <c r="K10">
        <f>E46</f>
        <v>2.1</v>
      </c>
      <c r="L10" s="37">
        <f t="shared" si="0"/>
        <v>52.5</v>
      </c>
      <c r="M10" s="48">
        <f t="shared" si="1"/>
        <v>3150</v>
      </c>
    </row>
    <row r="11" spans="1:13" x14ac:dyDescent="0.25">
      <c r="A11" s="54" t="s">
        <v>15</v>
      </c>
      <c r="B11" s="55">
        <v>20</v>
      </c>
      <c r="H11" t="str">
        <f>A52</f>
        <v>Deployment &amp; Installation</v>
      </c>
      <c r="I11">
        <f>C52</f>
        <v>28.5</v>
      </c>
      <c r="J11">
        <f>D52</f>
        <v>5.7</v>
      </c>
      <c r="K11">
        <f>E52</f>
        <v>1.425</v>
      </c>
      <c r="L11" s="37">
        <f t="shared" si="0"/>
        <v>35.625</v>
      </c>
      <c r="M11" s="48">
        <f t="shared" si="1"/>
        <v>2137.5</v>
      </c>
    </row>
    <row r="12" spans="1:13" x14ac:dyDescent="0.25">
      <c r="A12" s="54" t="s">
        <v>16</v>
      </c>
      <c r="B12" s="55">
        <v>16</v>
      </c>
      <c r="H12" t="str">
        <f>A60</f>
        <v>Testen (JUnit 5)</v>
      </c>
      <c r="I12">
        <f>C60</f>
        <v>9</v>
      </c>
      <c r="J12">
        <f>D60</f>
        <v>1.8</v>
      </c>
      <c r="K12">
        <f>E60</f>
        <v>0.45</v>
      </c>
      <c r="L12" s="37">
        <f t="shared" si="0"/>
        <v>11.25</v>
      </c>
      <c r="M12" s="48">
        <f t="shared" si="1"/>
        <v>675</v>
      </c>
    </row>
    <row r="13" spans="1:13" x14ac:dyDescent="0.25">
      <c r="A13" s="54" t="s">
        <v>17</v>
      </c>
      <c r="B13" s="55">
        <v>14</v>
      </c>
      <c r="H13" t="str">
        <f>A70</f>
        <v>Dokumentation</v>
      </c>
      <c r="I13">
        <f>C70</f>
        <v>58</v>
      </c>
      <c r="J13">
        <f>D70</f>
        <v>11.600000000000001</v>
      </c>
      <c r="K13">
        <f>E70</f>
        <v>2.9000000000000004</v>
      </c>
      <c r="L13" s="37">
        <f t="shared" si="0"/>
        <v>72.5</v>
      </c>
      <c r="M13" s="48">
        <f t="shared" si="1"/>
        <v>4350</v>
      </c>
    </row>
    <row r="14" spans="1:13" x14ac:dyDescent="0.25">
      <c r="H14" t="s">
        <v>18</v>
      </c>
      <c r="I14">
        <f>C83</f>
        <v>23.5</v>
      </c>
      <c r="J14">
        <v>0</v>
      </c>
      <c r="K14">
        <v>0</v>
      </c>
      <c r="L14" s="37">
        <f>I14</f>
        <v>23.5</v>
      </c>
      <c r="M14" s="48">
        <f t="shared" si="1"/>
        <v>1410</v>
      </c>
    </row>
    <row r="15" spans="1:13" x14ac:dyDescent="0.25">
      <c r="A15" s="50" t="s">
        <v>19</v>
      </c>
      <c r="B15" s="51"/>
      <c r="C15" s="52">
        <f>SUM(B16:B19)</f>
        <v>34</v>
      </c>
      <c r="D15" s="53">
        <f>$C15*$D$6</f>
        <v>6.8000000000000007</v>
      </c>
      <c r="E15" s="53">
        <f>$C15*$E$6</f>
        <v>1.7000000000000002</v>
      </c>
      <c r="H15" s="56" t="s">
        <v>20</v>
      </c>
      <c r="I15" s="56">
        <f>SUM(I5:I14)</f>
        <v>465</v>
      </c>
      <c r="J15" s="56">
        <f>SUM(J5:J14)</f>
        <v>88.300000000000011</v>
      </c>
      <c r="K15" s="56">
        <f>SUM(K5:K14)</f>
        <v>22.075000000000003</v>
      </c>
      <c r="L15" s="57">
        <f>SUM(L5:L14)</f>
        <v>575.375</v>
      </c>
      <c r="M15" s="58">
        <f>SUM(M5:M14)</f>
        <v>34522.5</v>
      </c>
    </row>
    <row r="16" spans="1:13" x14ac:dyDescent="0.25">
      <c r="A16" s="54" t="s">
        <v>21</v>
      </c>
      <c r="B16" s="55">
        <v>6</v>
      </c>
      <c r="H16" s="47" t="s">
        <v>22</v>
      </c>
      <c r="L16" s="59" t="str">
        <f>IF(L15=C85,"OK","FEHLER!")</f>
        <v>OK</v>
      </c>
    </row>
    <row r="17" spans="1:5" x14ac:dyDescent="0.25">
      <c r="A17" s="54" t="s">
        <v>23</v>
      </c>
      <c r="B17" s="55">
        <v>6</v>
      </c>
    </row>
    <row r="18" spans="1:5" x14ac:dyDescent="0.25">
      <c r="A18" s="54" t="s">
        <v>24</v>
      </c>
      <c r="B18" s="55">
        <v>16</v>
      </c>
    </row>
    <row r="19" spans="1:5" x14ac:dyDescent="0.25">
      <c r="A19" s="54" t="s">
        <v>25</v>
      </c>
      <c r="B19" s="55">
        <v>6</v>
      </c>
    </row>
    <row r="21" spans="1:5" x14ac:dyDescent="0.25">
      <c r="A21" s="50" t="s">
        <v>26</v>
      </c>
      <c r="B21" s="51"/>
      <c r="C21" s="52">
        <f>SUM(B22:B27)</f>
        <v>62</v>
      </c>
      <c r="D21" s="53">
        <f>$C21*$D$6</f>
        <v>12.4</v>
      </c>
      <c r="E21" s="53">
        <f>$C21*$E$6</f>
        <v>3.1</v>
      </c>
    </row>
    <row r="22" spans="1:5" x14ac:dyDescent="0.25">
      <c r="A22" s="54" t="s">
        <v>27</v>
      </c>
      <c r="B22" s="55">
        <v>4</v>
      </c>
    </row>
    <row r="23" spans="1:5" x14ac:dyDescent="0.25">
      <c r="A23" s="54" t="s">
        <v>28</v>
      </c>
      <c r="B23" s="55">
        <v>14</v>
      </c>
    </row>
    <row r="24" spans="1:5" x14ac:dyDescent="0.25">
      <c r="A24" s="54" t="s">
        <v>29</v>
      </c>
      <c r="B24" s="55">
        <v>8</v>
      </c>
    </row>
    <row r="25" spans="1:5" x14ac:dyDescent="0.25">
      <c r="A25" s="54" t="s">
        <v>30</v>
      </c>
      <c r="B25" s="55">
        <v>8</v>
      </c>
    </row>
    <row r="26" spans="1:5" x14ac:dyDescent="0.25">
      <c r="A26" s="54" t="s">
        <v>31</v>
      </c>
      <c r="B26" s="55">
        <v>18</v>
      </c>
    </row>
    <row r="27" spans="1:5" x14ac:dyDescent="0.25">
      <c r="A27" s="54" t="s">
        <v>32</v>
      </c>
      <c r="B27" s="55">
        <v>10</v>
      </c>
    </row>
    <row r="29" spans="1:5" x14ac:dyDescent="0.25">
      <c r="A29" s="50" t="s">
        <v>33</v>
      </c>
      <c r="B29" s="51"/>
      <c r="C29" s="52">
        <f>SUM(B30:B36)</f>
        <v>98</v>
      </c>
      <c r="D29" s="53">
        <f>$C29*$D$6</f>
        <v>19.600000000000001</v>
      </c>
      <c r="E29" s="53">
        <f>$C29*$E$6</f>
        <v>4.9000000000000004</v>
      </c>
    </row>
    <row r="30" spans="1:5" x14ac:dyDescent="0.25">
      <c r="A30" s="54" t="s">
        <v>34</v>
      </c>
      <c r="B30" s="55">
        <v>24</v>
      </c>
    </row>
    <row r="31" spans="1:5" x14ac:dyDescent="0.25">
      <c r="A31" s="54" t="s">
        <v>35</v>
      </c>
      <c r="B31" s="55">
        <v>20</v>
      </c>
    </row>
    <row r="32" spans="1:5" x14ac:dyDescent="0.25">
      <c r="A32" s="54" t="s">
        <v>36</v>
      </c>
      <c r="B32" s="55">
        <v>16</v>
      </c>
    </row>
    <row r="33" spans="1:5" x14ac:dyDescent="0.25">
      <c r="A33" s="54" t="s">
        <v>37</v>
      </c>
      <c r="B33" s="55">
        <v>8</v>
      </c>
    </row>
    <row r="34" spans="1:5" x14ac:dyDescent="0.25">
      <c r="A34" s="54" t="s">
        <v>38</v>
      </c>
      <c r="B34" s="55">
        <v>8</v>
      </c>
    </row>
    <row r="35" spans="1:5" x14ac:dyDescent="0.25">
      <c r="A35" s="54" t="s">
        <v>39</v>
      </c>
      <c r="B35" s="55">
        <v>12</v>
      </c>
    </row>
    <row r="36" spans="1:5" x14ac:dyDescent="0.25">
      <c r="A36" s="54" t="s">
        <v>40</v>
      </c>
      <c r="B36" s="55">
        <v>10</v>
      </c>
    </row>
    <row r="38" spans="1:5" x14ac:dyDescent="0.25">
      <c r="A38" s="50" t="s">
        <v>41</v>
      </c>
      <c r="B38" s="51"/>
      <c r="C38" s="52">
        <f>SUM(B39:B44)</f>
        <v>44</v>
      </c>
      <c r="D38" s="53">
        <f>$C38*$D$6</f>
        <v>8.8000000000000007</v>
      </c>
      <c r="E38" s="53">
        <f>$C38*$E$6</f>
        <v>2.2000000000000002</v>
      </c>
    </row>
    <row r="39" spans="1:5" x14ac:dyDescent="0.25">
      <c r="A39" s="54" t="s">
        <v>42</v>
      </c>
      <c r="B39" s="55">
        <v>6</v>
      </c>
    </row>
    <row r="40" spans="1:5" x14ac:dyDescent="0.25">
      <c r="A40" s="54" t="s">
        <v>43</v>
      </c>
      <c r="B40" s="55">
        <v>10</v>
      </c>
    </row>
    <row r="41" spans="1:5" x14ac:dyDescent="0.25">
      <c r="A41" s="54" t="s">
        <v>44</v>
      </c>
      <c r="B41" s="55">
        <v>6</v>
      </c>
    </row>
    <row r="42" spans="1:5" x14ac:dyDescent="0.25">
      <c r="A42" s="54" t="s">
        <v>45</v>
      </c>
      <c r="B42" s="55">
        <v>8</v>
      </c>
    </row>
    <row r="43" spans="1:5" x14ac:dyDescent="0.25">
      <c r="A43" s="54" t="s">
        <v>46</v>
      </c>
      <c r="B43" s="55">
        <v>8</v>
      </c>
    </row>
    <row r="44" spans="1:5" x14ac:dyDescent="0.25">
      <c r="A44" s="54" t="s">
        <v>47</v>
      </c>
      <c r="B44" s="55">
        <v>6</v>
      </c>
    </row>
    <row r="46" spans="1:5" x14ac:dyDescent="0.25">
      <c r="A46" s="50" t="s">
        <v>48</v>
      </c>
      <c r="B46" s="51"/>
      <c r="C46" s="52">
        <f>SUM(B47:B50)</f>
        <v>42</v>
      </c>
      <c r="D46" s="53">
        <f>$C46*$D$6</f>
        <v>8.4</v>
      </c>
      <c r="E46" s="53">
        <f>$C46*$E$6</f>
        <v>2.1</v>
      </c>
    </row>
    <row r="47" spans="1:5" x14ac:dyDescent="0.25">
      <c r="A47" s="54" t="s">
        <v>49</v>
      </c>
      <c r="B47" s="55">
        <v>20</v>
      </c>
    </row>
    <row r="48" spans="1:5" x14ac:dyDescent="0.25">
      <c r="A48" s="54" t="s">
        <v>50</v>
      </c>
      <c r="B48" s="55">
        <v>4</v>
      </c>
    </row>
    <row r="49" spans="1:5" x14ac:dyDescent="0.25">
      <c r="A49" s="54" t="s">
        <v>51</v>
      </c>
      <c r="B49" s="55">
        <v>12</v>
      </c>
    </row>
    <row r="50" spans="1:5" x14ac:dyDescent="0.25">
      <c r="A50" s="54" t="s">
        <v>52</v>
      </c>
      <c r="B50" s="55">
        <v>6</v>
      </c>
    </row>
    <row r="52" spans="1:5" x14ac:dyDescent="0.25">
      <c r="A52" s="50" t="s">
        <v>53</v>
      </c>
      <c r="B52" s="51"/>
      <c r="C52" s="52">
        <f>SUM(B53:B58)</f>
        <v>28.5</v>
      </c>
      <c r="D52" s="53">
        <f>$C52*$D$6</f>
        <v>5.7</v>
      </c>
      <c r="E52" s="53">
        <f>$C52*$E$6</f>
        <v>1.425</v>
      </c>
    </row>
    <row r="53" spans="1:5" x14ac:dyDescent="0.25">
      <c r="A53" s="54" t="s">
        <v>54</v>
      </c>
      <c r="B53" s="55">
        <v>4</v>
      </c>
    </row>
    <row r="54" spans="1:5" x14ac:dyDescent="0.25">
      <c r="A54" s="54" t="s">
        <v>55</v>
      </c>
      <c r="B54" s="55">
        <v>2.5</v>
      </c>
    </row>
    <row r="55" spans="1:5" x14ac:dyDescent="0.25">
      <c r="A55" s="54" t="s">
        <v>56</v>
      </c>
      <c r="B55" s="55">
        <v>10</v>
      </c>
    </row>
    <row r="56" spans="1:5" x14ac:dyDescent="0.25">
      <c r="A56" s="54" t="s">
        <v>57</v>
      </c>
      <c r="B56" s="55">
        <v>6</v>
      </c>
    </row>
    <row r="57" spans="1:5" x14ac:dyDescent="0.25">
      <c r="A57" s="54" t="s">
        <v>114</v>
      </c>
      <c r="B57" s="55">
        <v>4</v>
      </c>
    </row>
    <row r="58" spans="1:5" x14ac:dyDescent="0.25">
      <c r="A58" s="54" t="s">
        <v>115</v>
      </c>
      <c r="B58" s="55">
        <v>2</v>
      </c>
    </row>
    <row r="60" spans="1:5" x14ac:dyDescent="0.25">
      <c r="A60" s="50" t="s">
        <v>58</v>
      </c>
      <c r="B60" s="51"/>
      <c r="C60" s="52">
        <f>SUM(B61:B68)</f>
        <v>9</v>
      </c>
      <c r="D60" s="53">
        <f>$C60*$D$6</f>
        <v>1.8</v>
      </c>
      <c r="E60" s="53">
        <f>$C60*$E$6</f>
        <v>0.45</v>
      </c>
    </row>
    <row r="61" spans="1:5" x14ac:dyDescent="0.25">
      <c r="A61" s="54" t="s">
        <v>59</v>
      </c>
      <c r="B61" s="55">
        <v>1</v>
      </c>
    </row>
    <row r="62" spans="1:5" x14ac:dyDescent="0.25">
      <c r="A62" s="54" t="s">
        <v>60</v>
      </c>
      <c r="B62" s="55">
        <v>1</v>
      </c>
    </row>
    <row r="63" spans="1:5" x14ac:dyDescent="0.25">
      <c r="A63" s="54" t="s">
        <v>61</v>
      </c>
      <c r="B63" s="55">
        <v>1.5</v>
      </c>
    </row>
    <row r="64" spans="1:5" x14ac:dyDescent="0.25">
      <c r="A64" s="54" t="s">
        <v>62</v>
      </c>
      <c r="B64" s="55">
        <v>1</v>
      </c>
    </row>
    <row r="65" spans="1:5" x14ac:dyDescent="0.25">
      <c r="A65" s="54" t="s">
        <v>63</v>
      </c>
      <c r="B65" s="55">
        <v>1</v>
      </c>
    </row>
    <row r="66" spans="1:5" x14ac:dyDescent="0.25">
      <c r="A66" s="54" t="s">
        <v>64</v>
      </c>
      <c r="B66" s="55">
        <v>1</v>
      </c>
    </row>
    <row r="67" spans="1:5" x14ac:dyDescent="0.25">
      <c r="A67" s="54" t="s">
        <v>65</v>
      </c>
      <c r="B67" s="55">
        <v>1</v>
      </c>
    </row>
    <row r="68" spans="1:5" x14ac:dyDescent="0.25">
      <c r="A68" s="54" t="s">
        <v>66</v>
      </c>
      <c r="B68" s="55">
        <v>1.5</v>
      </c>
    </row>
    <row r="70" spans="1:5" x14ac:dyDescent="0.25">
      <c r="A70" s="50" t="s">
        <v>67</v>
      </c>
      <c r="B70" s="51"/>
      <c r="C70" s="52">
        <f>SUM(B71:B74)</f>
        <v>58</v>
      </c>
      <c r="D70" s="53">
        <f>$C70*$D$6</f>
        <v>11.600000000000001</v>
      </c>
      <c r="E70" s="53">
        <f>$C70*$E$6</f>
        <v>2.9000000000000004</v>
      </c>
    </row>
    <row r="71" spans="1:5" x14ac:dyDescent="0.25">
      <c r="A71" s="54" t="s">
        <v>68</v>
      </c>
      <c r="B71" s="55">
        <v>29</v>
      </c>
    </row>
    <row r="72" spans="1:5" x14ac:dyDescent="0.25">
      <c r="A72" s="54" t="s">
        <v>69</v>
      </c>
      <c r="B72" s="55">
        <v>5</v>
      </c>
    </row>
    <row r="73" spans="1:5" x14ac:dyDescent="0.25">
      <c r="A73" s="54" t="s">
        <v>70</v>
      </c>
      <c r="B73" s="55">
        <v>16</v>
      </c>
    </row>
    <row r="74" spans="1:5" x14ac:dyDescent="0.25">
      <c r="A74" s="54" t="s">
        <v>71</v>
      </c>
      <c r="B74" s="55">
        <v>8</v>
      </c>
    </row>
    <row r="77" spans="1:5" ht="15.75" x14ac:dyDescent="0.25">
      <c r="A77" s="60" t="s">
        <v>72</v>
      </c>
      <c r="B77" s="61"/>
      <c r="C77" s="56">
        <f>C8+C15+C21+C29+C38+C46+C52+C60+C70</f>
        <v>441.5</v>
      </c>
      <c r="D77" s="57">
        <f>D8+D15+D21+D29+D38+D46+D52+D60+D70</f>
        <v>88.300000000000011</v>
      </c>
      <c r="E77" s="57">
        <f>E8+E15+E21+E29+E38+E46+E52+E60+E70</f>
        <v>22.075000000000003</v>
      </c>
    </row>
    <row r="79" spans="1:5" x14ac:dyDescent="0.25">
      <c r="A79" s="50" t="s">
        <v>73</v>
      </c>
      <c r="B79" s="51"/>
      <c r="C79" s="51"/>
      <c r="D79" s="51"/>
      <c r="E79" s="51"/>
    </row>
    <row r="80" spans="1:5" x14ac:dyDescent="0.25">
      <c r="A80" t="s">
        <v>74</v>
      </c>
      <c r="B80" s="55">
        <v>4.5</v>
      </c>
    </row>
    <row r="81" spans="1:5" x14ac:dyDescent="0.25">
      <c r="A81" t="s">
        <v>75</v>
      </c>
      <c r="B81" s="55">
        <v>3</v>
      </c>
    </row>
    <row r="82" spans="1:5" x14ac:dyDescent="0.25">
      <c r="A82" t="s">
        <v>76</v>
      </c>
      <c r="B82" s="55">
        <v>16</v>
      </c>
    </row>
    <row r="83" spans="1:5" x14ac:dyDescent="0.25">
      <c r="A83" s="56" t="s">
        <v>77</v>
      </c>
      <c r="B83" s="61"/>
      <c r="C83" s="56">
        <f>SUM(B80:B82)</f>
        <v>23.5</v>
      </c>
      <c r="D83" s="61"/>
      <c r="E83" s="61"/>
    </row>
    <row r="85" spans="1:5" ht="17.25" x14ac:dyDescent="0.3">
      <c r="A85" s="62" t="s">
        <v>78</v>
      </c>
      <c r="B85" s="63"/>
      <c r="C85" s="64">
        <f>C77+D77+E77+C83</f>
        <v>575.375</v>
      </c>
      <c r="D85" s="63"/>
      <c r="E85" s="63"/>
    </row>
    <row r="86" spans="1:5" ht="17.25" x14ac:dyDescent="0.3">
      <c r="A86" s="62" t="s">
        <v>79</v>
      </c>
      <c r="B86" s="63"/>
      <c r="C86" s="65">
        <f>C85*$M$1</f>
        <v>34522.5</v>
      </c>
      <c r="D86" s="63"/>
      <c r="E86" s="6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workbookViewId="0">
      <selection activeCell="M18" sqref="M18"/>
    </sheetView>
  </sheetViews>
  <sheetFormatPr baseColWidth="10" defaultColWidth="11.42578125" defaultRowHeight="15" x14ac:dyDescent="0.25"/>
  <cols>
    <col min="1" max="1" width="38.42578125" bestFit="1" customWidth="1"/>
    <col min="2" max="2" width="9" bestFit="1" customWidth="1"/>
    <col min="3" max="3" width="16.7109375" style="6" bestFit="1" customWidth="1"/>
    <col min="4" max="4" width="7" bestFit="1" customWidth="1"/>
    <col min="5" max="5" width="15.140625" bestFit="1" customWidth="1"/>
    <col min="6" max="6" width="7.5703125" customWidth="1"/>
    <col min="7" max="7" width="4.28515625" customWidth="1"/>
    <col min="8" max="8" width="34.28515625" customWidth="1"/>
    <col min="9" max="10" width="11.42578125" customWidth="1"/>
    <col min="11" max="11" width="16.7109375" bestFit="1" customWidth="1"/>
    <col min="12" max="13" width="11.85546875" bestFit="1" customWidth="1"/>
    <col min="14" max="14" width="10.42578125" customWidth="1"/>
    <col min="15" max="15" width="12.140625" bestFit="1" customWidth="1"/>
    <col min="16" max="16" width="12.5703125" bestFit="1" customWidth="1"/>
  </cols>
  <sheetData>
    <row r="1" spans="1:14" x14ac:dyDescent="0.25">
      <c r="B1" t="s">
        <v>80</v>
      </c>
      <c r="C1" s="66" t="s">
        <v>81</v>
      </c>
      <c r="D1" s="67"/>
      <c r="E1" s="67"/>
      <c r="L1" t="s">
        <v>0</v>
      </c>
      <c r="M1" s="40">
        <v>60</v>
      </c>
    </row>
    <row r="2" spans="1:14" x14ac:dyDescent="0.25">
      <c r="B2" t="s">
        <v>2</v>
      </c>
      <c r="C2" s="6" t="s">
        <v>3</v>
      </c>
      <c r="D2" t="s">
        <v>4</v>
      </c>
      <c r="E2" t="s">
        <v>5</v>
      </c>
    </row>
    <row r="3" spans="1:14" x14ac:dyDescent="0.25">
      <c r="C3" s="31"/>
      <c r="D3" s="31" t="s">
        <v>11</v>
      </c>
      <c r="E3" s="31" t="s">
        <v>11</v>
      </c>
      <c r="I3" s="66" t="s">
        <v>80</v>
      </c>
      <c r="J3" s="67"/>
      <c r="K3" s="67"/>
      <c r="L3" s="67"/>
      <c r="M3" t="s">
        <v>10</v>
      </c>
    </row>
    <row r="4" spans="1:14" x14ac:dyDescent="0.25">
      <c r="D4" s="41">
        <v>0.3</v>
      </c>
      <c r="E4" s="41">
        <f>0.2</f>
        <v>0.2</v>
      </c>
      <c r="I4" t="s">
        <v>82</v>
      </c>
      <c r="J4" t="s">
        <v>4</v>
      </c>
      <c r="K4" t="s">
        <v>5</v>
      </c>
      <c r="L4" t="s">
        <v>83</v>
      </c>
      <c r="M4" t="s">
        <v>6</v>
      </c>
      <c r="N4" s="4"/>
    </row>
    <row r="5" spans="1:14" x14ac:dyDescent="0.25">
      <c r="H5" s="1" t="str">
        <f>A6</f>
        <v>Analyse 1</v>
      </c>
      <c r="I5">
        <f>C6</f>
        <v>18</v>
      </c>
      <c r="J5">
        <f>D6</f>
        <v>0</v>
      </c>
      <c r="K5">
        <f>E6</f>
        <v>3.6</v>
      </c>
      <c r="L5" s="37">
        <f t="shared" ref="L5:L13" si="0">SUM(I5:K5)</f>
        <v>21.6</v>
      </c>
      <c r="M5" s="4">
        <f t="shared" ref="M5:M13" si="1">L5*$M$1</f>
        <v>1296</v>
      </c>
    </row>
    <row r="6" spans="1:14" x14ac:dyDescent="0.25">
      <c r="A6" s="12" t="s">
        <v>84</v>
      </c>
      <c r="B6" s="12"/>
      <c r="C6" s="35">
        <f>SUM(B7:B9)</f>
        <v>18</v>
      </c>
      <c r="D6" s="12"/>
      <c r="E6" s="12">
        <f>$C6*$E$4</f>
        <v>3.6</v>
      </c>
      <c r="H6" s="1" t="str">
        <f>A11</f>
        <v>Analyse2</v>
      </c>
      <c r="I6">
        <f>C11</f>
        <v>44</v>
      </c>
      <c r="J6">
        <f>D11</f>
        <v>13.2</v>
      </c>
      <c r="K6">
        <f>E11</f>
        <v>8.8000000000000007</v>
      </c>
      <c r="L6" s="37">
        <f t="shared" si="0"/>
        <v>66</v>
      </c>
      <c r="M6" s="4">
        <f t="shared" si="1"/>
        <v>3960</v>
      </c>
    </row>
    <row r="7" spans="1:14" x14ac:dyDescent="0.25">
      <c r="A7" s="24" t="s">
        <v>85</v>
      </c>
      <c r="B7" s="13">
        <v>6</v>
      </c>
      <c r="C7" s="14"/>
      <c r="D7" s="13"/>
      <c r="E7" s="13"/>
      <c r="H7" s="1" t="str">
        <f>A17</f>
        <v>Datenbank</v>
      </c>
      <c r="I7">
        <f>C17</f>
        <v>27</v>
      </c>
      <c r="J7">
        <f>D17</f>
        <v>8.1</v>
      </c>
      <c r="K7">
        <f>E17</f>
        <v>5.4</v>
      </c>
      <c r="L7" s="37">
        <f t="shared" si="0"/>
        <v>40.5</v>
      </c>
      <c r="M7" s="4">
        <f t="shared" si="1"/>
        <v>2430</v>
      </c>
    </row>
    <row r="8" spans="1:14" x14ac:dyDescent="0.25">
      <c r="A8" s="24" t="s">
        <v>86</v>
      </c>
      <c r="B8" s="13">
        <v>12</v>
      </c>
      <c r="C8" s="14"/>
      <c r="D8" s="13"/>
      <c r="E8" s="13"/>
      <c r="H8" s="1" t="str">
        <f>A25</f>
        <v>Feature 1</v>
      </c>
      <c r="I8">
        <f>C25</f>
        <v>12</v>
      </c>
      <c r="J8">
        <f>D25</f>
        <v>3.5999999999999996</v>
      </c>
      <c r="K8">
        <f>E25</f>
        <v>2.4000000000000004</v>
      </c>
      <c r="L8" s="37">
        <f t="shared" si="0"/>
        <v>18</v>
      </c>
      <c r="M8" s="4">
        <f t="shared" si="1"/>
        <v>1080</v>
      </c>
      <c r="N8" s="4"/>
    </row>
    <row r="9" spans="1:14" x14ac:dyDescent="0.25">
      <c r="A9" s="13"/>
      <c r="B9" s="13"/>
      <c r="C9" s="14"/>
      <c r="D9" s="13"/>
      <c r="E9" s="13"/>
      <c r="H9" s="1" t="str">
        <f>A31</f>
        <v>Feature 2</v>
      </c>
      <c r="I9">
        <f>C31</f>
        <v>10</v>
      </c>
      <c r="J9">
        <f>D31</f>
        <v>3</v>
      </c>
      <c r="K9">
        <f>E31</f>
        <v>2</v>
      </c>
      <c r="L9" s="37">
        <f t="shared" si="0"/>
        <v>15</v>
      </c>
      <c r="M9" s="4">
        <f t="shared" si="1"/>
        <v>900</v>
      </c>
    </row>
    <row r="10" spans="1:14" x14ac:dyDescent="0.25">
      <c r="H10" s="1" t="str">
        <f>A37</f>
        <v>Feature 3</v>
      </c>
      <c r="I10">
        <f>C37</f>
        <v>17</v>
      </c>
      <c r="J10">
        <f>D37</f>
        <v>5.0999999999999996</v>
      </c>
      <c r="K10">
        <f>E37</f>
        <v>3.4000000000000004</v>
      </c>
      <c r="L10" s="37">
        <f t="shared" si="0"/>
        <v>25.5</v>
      </c>
      <c r="M10" s="4">
        <f t="shared" si="1"/>
        <v>1530</v>
      </c>
    </row>
    <row r="11" spans="1:14" x14ac:dyDescent="0.25">
      <c r="A11" s="10" t="s">
        <v>87</v>
      </c>
      <c r="B11" s="10"/>
      <c r="C11" s="27">
        <f>SUM(B11:B15)</f>
        <v>44</v>
      </c>
      <c r="D11" s="10">
        <f>$C11*$D$4</f>
        <v>13.2</v>
      </c>
      <c r="E11" s="10">
        <f>$C11*$E$4</f>
        <v>8.8000000000000007</v>
      </c>
      <c r="H11" s="1" t="str">
        <f>A43</f>
        <v>Feature 4</v>
      </c>
      <c r="I11">
        <f>C43</f>
        <v>37</v>
      </c>
      <c r="J11">
        <f>D43</f>
        <v>11.1</v>
      </c>
      <c r="K11">
        <f>E43</f>
        <v>7.4</v>
      </c>
      <c r="L11" s="37">
        <f t="shared" si="0"/>
        <v>55.5</v>
      </c>
      <c r="M11" s="4">
        <f t="shared" si="1"/>
        <v>3330</v>
      </c>
    </row>
    <row r="12" spans="1:14" x14ac:dyDescent="0.25">
      <c r="A12" s="26" t="s">
        <v>88</v>
      </c>
      <c r="B12" s="11">
        <v>4</v>
      </c>
      <c r="C12" s="27"/>
      <c r="D12" s="28"/>
      <c r="E12" s="28"/>
      <c r="H12" s="1" t="str">
        <f>A49</f>
        <v>Testen</v>
      </c>
      <c r="I12">
        <f>C49</f>
        <v>62</v>
      </c>
      <c r="J12">
        <f>D49</f>
        <v>18.599999999999998</v>
      </c>
      <c r="K12">
        <f>E49</f>
        <v>12.4</v>
      </c>
      <c r="L12" s="37">
        <f t="shared" si="0"/>
        <v>93</v>
      </c>
      <c r="M12" s="4">
        <f t="shared" si="1"/>
        <v>5580</v>
      </c>
    </row>
    <row r="13" spans="1:14" x14ac:dyDescent="0.25">
      <c r="A13" s="26" t="s">
        <v>89</v>
      </c>
      <c r="B13" s="11">
        <v>8</v>
      </c>
      <c r="C13" s="27"/>
      <c r="D13" s="28"/>
      <c r="E13" s="28"/>
      <c r="H13" s="1" t="str">
        <f>A55</f>
        <v>Sonstiges</v>
      </c>
      <c r="I13">
        <f>C55</f>
        <v>60</v>
      </c>
      <c r="J13">
        <f>D55</f>
        <v>0</v>
      </c>
      <c r="K13">
        <f>E55</f>
        <v>12</v>
      </c>
      <c r="L13" s="37">
        <f t="shared" si="0"/>
        <v>72</v>
      </c>
      <c r="M13" s="4">
        <f t="shared" si="1"/>
        <v>4320</v>
      </c>
    </row>
    <row r="14" spans="1:14" x14ac:dyDescent="0.25">
      <c r="A14" s="26" t="s">
        <v>90</v>
      </c>
      <c r="B14" s="11">
        <v>32</v>
      </c>
      <c r="C14" s="27"/>
      <c r="D14" s="28"/>
      <c r="E14" s="28"/>
      <c r="H14" s="2"/>
      <c r="I14" s="3">
        <f>SUM(I5:I13)</f>
        <v>287</v>
      </c>
      <c r="J14" s="3">
        <f>SUM(J5:J13)</f>
        <v>62.7</v>
      </c>
      <c r="K14" s="3">
        <f>SUM(K5:K13)</f>
        <v>57.4</v>
      </c>
      <c r="L14" s="38">
        <f>SUM(L5:L13)</f>
        <v>407.1</v>
      </c>
      <c r="M14" s="5">
        <f>SUM(M5:M13)</f>
        <v>24426</v>
      </c>
    </row>
    <row r="15" spans="1:14" x14ac:dyDescent="0.25">
      <c r="A15" s="11"/>
      <c r="B15" s="11"/>
      <c r="C15" s="27"/>
      <c r="D15" s="28"/>
      <c r="E15" s="28"/>
      <c r="I15" t="str">
        <f>IF($C$61&lt;&gt;I14,"FEHLER!","")</f>
        <v/>
      </c>
      <c r="J15" t="str">
        <f>IF($D$61&lt;&gt;J14,"FEHLER!","")</f>
        <v/>
      </c>
      <c r="K15" t="str">
        <f>IF($E$61&lt;&gt;K14,"FEHLER!","")</f>
        <v/>
      </c>
      <c r="L15" t="str">
        <f>IF($C$63&lt;&gt;L14,"FEHLER!","")</f>
        <v/>
      </c>
    </row>
    <row r="17" spans="1:14" ht="15.75" customHeight="1" x14ac:dyDescent="0.25">
      <c r="A17" s="15" t="s">
        <v>91</v>
      </c>
      <c r="B17" s="15"/>
      <c r="C17" s="23">
        <f>SUM(B17:B23)</f>
        <v>27</v>
      </c>
      <c r="D17" s="15">
        <f>$C17*$D$4</f>
        <v>8.1</v>
      </c>
      <c r="E17" s="15">
        <f>$C17*$E$4</f>
        <v>5.4</v>
      </c>
      <c r="K17" s="32" t="s">
        <v>92</v>
      </c>
      <c r="L17" s="32"/>
      <c r="M17" s="33">
        <f>SUM(M5:M13)</f>
        <v>24426</v>
      </c>
    </row>
    <row r="18" spans="1:14" ht="15.75" customHeight="1" x14ac:dyDescent="0.25">
      <c r="A18" s="22" t="s">
        <v>93</v>
      </c>
      <c r="B18" s="16">
        <v>6</v>
      </c>
      <c r="C18" s="23"/>
      <c r="D18" s="21"/>
      <c r="E18" s="21"/>
      <c r="K18" s="34" t="s">
        <v>94</v>
      </c>
      <c r="L18" s="29"/>
      <c r="M18" s="30">
        <f>C63*$M$1</f>
        <v>24425.999999999996</v>
      </c>
    </row>
    <row r="19" spans="1:14" ht="15.75" customHeight="1" x14ac:dyDescent="0.25">
      <c r="A19" s="22" t="s">
        <v>95</v>
      </c>
      <c r="B19" s="16">
        <v>4</v>
      </c>
      <c r="C19" s="23"/>
      <c r="D19" s="21"/>
      <c r="E19" s="21"/>
      <c r="L19" s="34"/>
      <c r="M19" s="29"/>
    </row>
    <row r="20" spans="1:14" x14ac:dyDescent="0.25">
      <c r="A20" s="22" t="s">
        <v>96</v>
      </c>
      <c r="B20" s="16">
        <v>3</v>
      </c>
      <c r="C20" s="23"/>
      <c r="D20" s="21"/>
      <c r="E20" s="21"/>
    </row>
    <row r="21" spans="1:14" x14ac:dyDescent="0.25">
      <c r="A21" s="22" t="s">
        <v>97</v>
      </c>
      <c r="B21" s="16">
        <v>2</v>
      </c>
      <c r="C21" s="23"/>
      <c r="D21" s="21"/>
      <c r="E21" s="21"/>
    </row>
    <row r="22" spans="1:14" x14ac:dyDescent="0.25">
      <c r="A22" s="22" t="s">
        <v>98</v>
      </c>
      <c r="B22" s="16">
        <v>12</v>
      </c>
      <c r="C22" s="23"/>
      <c r="D22" s="21"/>
      <c r="E22" s="21"/>
    </row>
    <row r="23" spans="1:14" x14ac:dyDescent="0.25">
      <c r="A23" s="22"/>
      <c r="B23" s="16"/>
      <c r="C23" s="23"/>
      <c r="D23" s="21"/>
      <c r="E23" s="21"/>
    </row>
    <row r="24" spans="1:14" x14ac:dyDescent="0.25">
      <c r="A24" s="9"/>
    </row>
    <row r="25" spans="1:14" x14ac:dyDescent="0.25">
      <c r="A25" s="17" t="s">
        <v>99</v>
      </c>
      <c r="B25" s="17"/>
      <c r="C25" s="36">
        <f>SUM(B25:B29)</f>
        <v>12</v>
      </c>
      <c r="D25" s="36">
        <f>$C25*$D$4</f>
        <v>3.5999999999999996</v>
      </c>
      <c r="E25" s="36">
        <f>$C25*$E$4</f>
        <v>2.4000000000000004</v>
      </c>
    </row>
    <row r="26" spans="1:14" x14ac:dyDescent="0.25">
      <c r="A26" s="25" t="s">
        <v>100</v>
      </c>
      <c r="B26" s="18">
        <v>4</v>
      </c>
      <c r="C26" s="19"/>
      <c r="D26" s="18"/>
      <c r="E26" s="18"/>
    </row>
    <row r="27" spans="1:14" x14ac:dyDescent="0.25">
      <c r="A27" s="25" t="s">
        <v>101</v>
      </c>
      <c r="B27" s="18">
        <v>4</v>
      </c>
      <c r="C27" s="19"/>
      <c r="D27" s="18"/>
      <c r="E27" s="18"/>
    </row>
    <row r="28" spans="1:14" x14ac:dyDescent="0.25">
      <c r="A28" s="25" t="s">
        <v>102</v>
      </c>
      <c r="B28" s="18">
        <v>4</v>
      </c>
      <c r="C28" s="19"/>
      <c r="D28" s="18"/>
      <c r="E28" s="18"/>
    </row>
    <row r="29" spans="1:14" x14ac:dyDescent="0.25">
      <c r="A29" s="25"/>
      <c r="B29" s="18"/>
      <c r="C29" s="19"/>
      <c r="D29" s="18"/>
      <c r="E29" s="18"/>
      <c r="N29" s="4"/>
    </row>
    <row r="30" spans="1:14" x14ac:dyDescent="0.25">
      <c r="A30" s="9"/>
    </row>
    <row r="31" spans="1:14" x14ac:dyDescent="0.25">
      <c r="A31" s="12" t="s">
        <v>103</v>
      </c>
      <c r="B31" s="12"/>
      <c r="C31" s="35">
        <f>SUM(B31:B35)</f>
        <v>10</v>
      </c>
      <c r="D31" s="12">
        <f>$C31*$D$4</f>
        <v>3</v>
      </c>
      <c r="E31" s="12">
        <f>$C31*$E$4</f>
        <v>2</v>
      </c>
    </row>
    <row r="32" spans="1:14" x14ac:dyDescent="0.25">
      <c r="A32" s="24" t="s">
        <v>100</v>
      </c>
      <c r="B32" s="13">
        <v>4</v>
      </c>
      <c r="C32" s="14"/>
      <c r="D32" s="13"/>
      <c r="E32" s="13"/>
    </row>
    <row r="33" spans="1:5" x14ac:dyDescent="0.25">
      <c r="A33" s="24" t="s">
        <v>101</v>
      </c>
      <c r="B33" s="13">
        <v>2</v>
      </c>
      <c r="C33" s="14"/>
      <c r="D33" s="13"/>
      <c r="E33" s="13"/>
    </row>
    <row r="34" spans="1:5" x14ac:dyDescent="0.25">
      <c r="A34" s="24" t="s">
        <v>102</v>
      </c>
      <c r="B34" s="13">
        <v>4</v>
      </c>
      <c r="C34" s="14"/>
      <c r="D34" s="13"/>
      <c r="E34" s="13"/>
    </row>
    <row r="35" spans="1:5" x14ac:dyDescent="0.25">
      <c r="A35" s="24"/>
      <c r="B35" s="13"/>
      <c r="C35" s="14"/>
      <c r="D35" s="13"/>
      <c r="E35" s="13"/>
    </row>
    <row r="36" spans="1:5" x14ac:dyDescent="0.25">
      <c r="A36" s="9"/>
    </row>
    <row r="37" spans="1:5" x14ac:dyDescent="0.25">
      <c r="A37" s="10" t="s">
        <v>104</v>
      </c>
      <c r="B37" s="10"/>
      <c r="C37" s="27">
        <f>SUM(B37:B41)</f>
        <v>17</v>
      </c>
      <c r="D37" s="10">
        <f>$C37*$D$4</f>
        <v>5.0999999999999996</v>
      </c>
      <c r="E37" s="10">
        <f>$C37*$E$4</f>
        <v>3.4000000000000004</v>
      </c>
    </row>
    <row r="38" spans="1:5" x14ac:dyDescent="0.25">
      <c r="A38" s="26" t="s">
        <v>100</v>
      </c>
      <c r="B38" s="11">
        <v>3</v>
      </c>
      <c r="C38" s="27"/>
      <c r="D38" s="28"/>
      <c r="E38" s="28"/>
    </row>
    <row r="39" spans="1:5" x14ac:dyDescent="0.25">
      <c r="A39" s="26" t="s">
        <v>101</v>
      </c>
      <c r="B39" s="11">
        <v>6</v>
      </c>
      <c r="C39" s="27"/>
      <c r="D39" s="28"/>
      <c r="E39" s="28"/>
    </row>
    <row r="40" spans="1:5" x14ac:dyDescent="0.25">
      <c r="A40" s="26" t="s">
        <v>105</v>
      </c>
      <c r="B40" s="11">
        <v>8</v>
      </c>
      <c r="C40" s="27"/>
      <c r="D40" s="28"/>
      <c r="E40" s="28"/>
    </row>
    <row r="41" spans="1:5" x14ac:dyDescent="0.25">
      <c r="A41" s="26"/>
      <c r="B41" s="11"/>
      <c r="C41" s="27"/>
      <c r="D41" s="28"/>
      <c r="E41" s="28"/>
    </row>
    <row r="42" spans="1:5" x14ac:dyDescent="0.25">
      <c r="A42" s="9"/>
    </row>
    <row r="43" spans="1:5" x14ac:dyDescent="0.25">
      <c r="A43" s="15" t="s">
        <v>106</v>
      </c>
      <c r="B43" s="15"/>
      <c r="C43" s="23">
        <f>SUM(B43:B47)</f>
        <v>37</v>
      </c>
      <c r="D43" s="15">
        <f>$C43*$D$4</f>
        <v>11.1</v>
      </c>
      <c r="E43" s="15">
        <f>$C43*$E$4</f>
        <v>7.4</v>
      </c>
    </row>
    <row r="44" spans="1:5" x14ac:dyDescent="0.25">
      <c r="A44" s="22" t="s">
        <v>100</v>
      </c>
      <c r="B44" s="16">
        <v>10</v>
      </c>
      <c r="C44" s="23"/>
      <c r="D44" s="21"/>
      <c r="E44" s="21"/>
    </row>
    <row r="45" spans="1:5" x14ac:dyDescent="0.25">
      <c r="A45" s="22" t="s">
        <v>101</v>
      </c>
      <c r="B45" s="16">
        <v>12</v>
      </c>
      <c r="C45" s="23"/>
      <c r="D45" s="21"/>
      <c r="E45" s="21"/>
    </row>
    <row r="46" spans="1:5" x14ac:dyDescent="0.25">
      <c r="A46" s="22" t="s">
        <v>102</v>
      </c>
      <c r="B46" s="16">
        <v>15</v>
      </c>
      <c r="C46" s="23"/>
      <c r="D46" s="21"/>
      <c r="E46" s="21"/>
    </row>
    <row r="47" spans="1:5" x14ac:dyDescent="0.25">
      <c r="A47" s="22"/>
      <c r="B47" s="16"/>
      <c r="C47" s="23"/>
      <c r="D47" s="21"/>
      <c r="E47" s="21"/>
    </row>
    <row r="48" spans="1:5" x14ac:dyDescent="0.25">
      <c r="A48" s="9"/>
    </row>
    <row r="49" spans="1:5" x14ac:dyDescent="0.25">
      <c r="A49" s="17" t="s">
        <v>4</v>
      </c>
      <c r="B49" s="17"/>
      <c r="C49" s="36">
        <f>SUM(B49:B53)</f>
        <v>62</v>
      </c>
      <c r="D49" s="17">
        <f>$C49*$D$4</f>
        <v>18.599999999999998</v>
      </c>
      <c r="E49" s="17">
        <f>$C49*$E$4</f>
        <v>12.4</v>
      </c>
    </row>
    <row r="50" spans="1:5" x14ac:dyDescent="0.25">
      <c r="A50" s="25" t="s">
        <v>107</v>
      </c>
      <c r="B50" s="18">
        <v>12</v>
      </c>
      <c r="C50" s="36"/>
      <c r="D50" s="39"/>
      <c r="E50" s="39"/>
    </row>
    <row r="51" spans="1:5" x14ac:dyDescent="0.25">
      <c r="A51" s="25" t="s">
        <v>108</v>
      </c>
      <c r="B51" s="18">
        <v>20</v>
      </c>
      <c r="C51" s="36"/>
      <c r="D51" s="39"/>
      <c r="E51" s="39"/>
    </row>
    <row r="52" spans="1:5" x14ac:dyDescent="0.25">
      <c r="A52" s="25" t="s">
        <v>109</v>
      </c>
      <c r="B52" s="18">
        <v>30</v>
      </c>
      <c r="C52" s="36"/>
      <c r="D52" s="39"/>
      <c r="E52" s="39"/>
    </row>
    <row r="53" spans="1:5" x14ac:dyDescent="0.25">
      <c r="A53" s="25"/>
      <c r="B53" s="18"/>
      <c r="C53" s="36"/>
      <c r="D53" s="39"/>
      <c r="E53" s="39"/>
    </row>
    <row r="55" spans="1:5" x14ac:dyDescent="0.25">
      <c r="A55" s="12" t="s">
        <v>110</v>
      </c>
      <c r="B55" s="12"/>
      <c r="C55" s="35">
        <f>SUM(B56:B59)</f>
        <v>60</v>
      </c>
      <c r="D55" s="35">
        <v>0</v>
      </c>
      <c r="E55" s="35">
        <f>$C55*$E$4</f>
        <v>12</v>
      </c>
    </row>
    <row r="56" spans="1:5" x14ac:dyDescent="0.25">
      <c r="A56" s="24" t="s">
        <v>111</v>
      </c>
      <c r="B56" s="13">
        <v>20</v>
      </c>
      <c r="C56" s="14"/>
      <c r="D56" s="13"/>
      <c r="E56" s="13"/>
    </row>
    <row r="57" spans="1:5" x14ac:dyDescent="0.25">
      <c r="A57" s="24" t="s">
        <v>112</v>
      </c>
      <c r="B57" s="13">
        <v>10</v>
      </c>
      <c r="C57" s="14"/>
      <c r="D57" s="13"/>
      <c r="E57" s="13"/>
    </row>
    <row r="58" spans="1:5" x14ac:dyDescent="0.25">
      <c r="A58" s="24" t="s">
        <v>67</v>
      </c>
      <c r="B58" s="13">
        <v>30</v>
      </c>
      <c r="C58" s="14"/>
      <c r="D58" s="13"/>
      <c r="E58" s="13"/>
    </row>
    <row r="59" spans="1:5" x14ac:dyDescent="0.25">
      <c r="A59" s="13"/>
      <c r="B59" s="13"/>
      <c r="C59" s="14"/>
      <c r="D59" s="13"/>
      <c r="E59" s="13"/>
    </row>
    <row r="61" spans="1:5" x14ac:dyDescent="0.25">
      <c r="A61" s="3" t="s">
        <v>83</v>
      </c>
      <c r="B61" s="8"/>
      <c r="C61" s="20">
        <f>SUM(C6:C59)</f>
        <v>287</v>
      </c>
      <c r="D61" s="20">
        <f>SUM(D6:D59)</f>
        <v>62.7</v>
      </c>
      <c r="E61" s="20">
        <f>SUM(E6:E59)</f>
        <v>57.4</v>
      </c>
    </row>
    <row r="63" spans="1:5" x14ac:dyDescent="0.25">
      <c r="A63" s="1" t="s">
        <v>113</v>
      </c>
      <c r="C63" s="7">
        <f>SUM(C61:E61)</f>
        <v>407.09999999999997</v>
      </c>
    </row>
  </sheetData>
  <mergeCells count="2">
    <mergeCell ref="C1:E1"/>
    <mergeCell ref="I3:L3"/>
  </mergeCells>
  <conditionalFormatting sqref="M18">
    <cfRule type="cellIs" dxfId="0" priority="1" operator="notEqual">
      <formula>$M$17</formula>
    </cfRule>
  </conditionalFormatting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SignalReport</vt:lpstr>
      <vt:lpstr>Vorlage (Original)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FÜSSL</cp:lastModifiedBy>
  <dcterms:created xsi:type="dcterms:W3CDTF">2006-09-21T08:52:22Z</dcterms:created>
  <dcterms:modified xsi:type="dcterms:W3CDTF">2026-04-08T16:01:54Z</dcterms:modified>
</cp:coreProperties>
</file>